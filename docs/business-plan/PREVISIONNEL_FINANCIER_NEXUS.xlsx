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Plan Financement" sheetId="2" state="visible" r:id="rId2"/>
    <sheet name="Clients &amp; MRR" sheetId="3" state="visible" r:id="rId3"/>
    <sheet name="Compte Resultat" sheetId="4" state="visible" r:id="rId4"/>
    <sheet name="Tresorerie M1-M12" sheetId="5" state="visible" r:id="rId5"/>
    <sheet name="Seuil Rentabilite" sheetId="6" state="visible" r:id="rId6"/>
    <sheet name="Bilan" sheetId="7" state="visible" r:id="rId7"/>
    <sheet name="Scenario Pessimiste" sheetId="8" state="visible" r:id="rId8"/>
    <sheet name="Remboursem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0.0%"/>
    <numFmt numFmtId="166" formatCode="#,##0 €;[Red]-#,##0 €"/>
  </numFmts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2B6CB0"/>
      <sz val="12"/>
    </font>
  </fonts>
  <fills count="7">
    <fill>
      <patternFill/>
    </fill>
    <fill>
      <patternFill patternType="gray125"/>
    </fill>
    <fill>
      <patternFill patternType="solid">
        <fgColor rgb="002B6CB0"/>
        <bgColor rgb="002B6CB0"/>
      </patternFill>
    </fill>
    <fill>
      <patternFill patternType="solid">
        <fgColor rgb="001A365D"/>
        <bgColor rgb="001A365D"/>
      </patternFill>
    </fill>
    <fill>
      <patternFill patternType="solid">
        <fgColor rgb="00FEF7E0"/>
        <bgColor rgb="00FEF7E0"/>
      </patternFill>
    </fill>
    <fill>
      <patternFill patternType="solid">
        <fgColor rgb="00E8F0FE"/>
        <bgColor rgb="00E8F0FE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2" fillId="0" borderId="1" pivotButton="0" quotePrefix="0" xfId="0"/>
    <xf numFmtId="164" fontId="5" fillId="0" borderId="1" pivotButton="0" quotePrefix="0" xfId="0"/>
    <xf numFmtId="9" fontId="5" fillId="0" borderId="1" pivotButton="0" quotePrefix="0" xfId="0"/>
    <xf numFmtId="165" fontId="5" fillId="0" borderId="1" pivotButton="0" quotePrefix="0" xfId="0"/>
    <xf numFmtId="1" fontId="5" fillId="0" borderId="1" pivotButton="0" quotePrefix="0" xfId="0"/>
    <xf numFmtId="0" fontId="6" fillId="0" borderId="0" pivotButton="0" quotePrefix="0" xfId="0"/>
    <xf numFmtId="164" fontId="0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0" fontId="0" fillId="4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0" fillId="4" borderId="0" pivotButton="0" quotePrefix="0" xfId="0"/>
    <xf numFmtId="164" fontId="0" fillId="0" borderId="0" pivotButton="0" quotePrefix="0" xfId="0"/>
    <xf numFmtId="166" fontId="0" fillId="0" borderId="1" pivotButton="0" quotePrefix="0" xfId="0"/>
    <xf numFmtId="166" fontId="4" fillId="0" borderId="1" pivotButton="0" quotePrefix="0" xfId="0"/>
    <xf numFmtId="9" fontId="0" fillId="0" borderId="1" pivotButton="0" quotePrefix="0" xfId="0"/>
    <xf numFmtId="164" fontId="0" fillId="5" borderId="1" pivotButton="0" quotePrefix="0" xfId="0"/>
    <xf numFmtId="0" fontId="4" fillId="6" borderId="1" pivotButton="0" quotePrefix="0" xfId="0"/>
    <xf numFmtId="166" fontId="4" fillId="6" borderId="1" pivotButton="0" quotePrefix="0" xfId="0"/>
    <xf numFmtId="165" fontId="0" fillId="0" borderId="1" pivotButton="0" quotePrefix="0" xfId="0"/>
    <xf numFmtId="1" fontId="0" fillId="0" borderId="1" pivotButton="0" quotePrefix="0" xfId="0"/>
    <xf numFmtId="166" fontId="0" fillId="0" borderId="0" pivotButton="0" quotePrefix="0" xfId="0"/>
    <xf numFmtId="9" fontId="0" fillId="4" borderId="0" pivotButton="0" quotePrefix="0" xfId="0"/>
    <xf numFmtId="166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6CB0"/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35" customWidth="1" min="3" max="3"/>
  </cols>
  <sheetData>
    <row r="1">
      <c r="A1" s="1" t="inlineStr">
        <is>
          <t>HYPOTHESES FINANCIERES — NEXUS</t>
        </is>
      </c>
    </row>
    <row r="2">
      <c r="A2" s="2" t="inlineStr">
        <is>
          <t>Modifiez ces valeurs pour voir l'impact sur tous les onglets</t>
        </is>
      </c>
    </row>
    <row r="4">
      <c r="A4" s="3" t="inlineStr">
        <is>
          <t>Parametre</t>
        </is>
      </c>
      <c r="B4" s="3" t="inlineStr">
        <is>
          <t>Valeur</t>
        </is>
      </c>
      <c r="C4" s="3" t="inlineStr">
        <is>
          <t>Note</t>
        </is>
      </c>
    </row>
    <row r="5">
      <c r="A5" s="4" t="inlineStr">
        <is>
          <t>Prix Free (EUR/mois)</t>
        </is>
      </c>
      <c r="B5" s="5" t="n">
        <v>0</v>
      </c>
      <c r="C5" s="6" t="inlineStr">
        <is>
          <t>Gratuit a vie</t>
        </is>
      </c>
    </row>
    <row r="6">
      <c r="A6" s="4" t="inlineStr">
        <is>
          <t>Prix Basic (EUR/mois)</t>
        </is>
      </c>
      <c r="B6" s="7" t="n">
        <v>29</v>
      </c>
      <c r="C6" s="6" t="inlineStr">
        <is>
          <t>Illimite + 1000 credits IA/mois</t>
        </is>
      </c>
    </row>
    <row r="7">
      <c r="A7" s="4" t="inlineStr">
        <is>
          <t>Prix Business (EUR/mois)</t>
        </is>
      </c>
      <c r="B7" s="7" t="n">
        <v>149</v>
      </c>
      <c r="C7" s="6" t="inlineStr">
        <is>
          <t>Multi-site + 10000 credits IA/mois</t>
        </is>
      </c>
    </row>
    <row r="8">
      <c r="A8" s="4" t="inlineStr">
        <is>
          <t>Mix Free (%)</t>
        </is>
      </c>
      <c r="B8" s="8" t="n">
        <v>0.1</v>
      </c>
      <c r="C8" s="6" t="inlineStr">
        <is>
          <t>Utilisateurs gratuits</t>
        </is>
      </c>
    </row>
    <row r="9">
      <c r="A9" s="4" t="inlineStr">
        <is>
          <t>Mix Basic (%)</t>
        </is>
      </c>
      <c r="B9" s="8" t="n">
        <v>0.7</v>
      </c>
      <c r="C9" s="6" t="inlineStr">
        <is>
          <t>Coeur de cible PME</t>
        </is>
      </c>
    </row>
    <row r="10">
      <c r="A10" s="4" t="inlineStr">
        <is>
          <t>Mix Business (%)</t>
        </is>
      </c>
      <c r="B10" s="8" t="n">
        <v>0.2</v>
      </c>
      <c r="C10" s="6" t="inlineStr">
        <is>
          <t>Multi-sites, franchises</t>
        </is>
      </c>
    </row>
    <row r="11">
      <c r="A11" s="4" t="inlineStr">
        <is>
          <t>ARPA (revenu moyen/client/mois)</t>
        </is>
      </c>
      <c r="B11" s="7">
        <f>B5*B8+B6*B9+B7*B10</f>
        <v/>
      </c>
      <c r="C11" s="6">
        <f>B5*B8+B6*B9+B7*B10</f>
        <v/>
      </c>
    </row>
    <row r="12">
      <c r="A12" s="5" t="inlineStr"/>
      <c r="B12" s="5" t="inlineStr"/>
      <c r="C12" s="6" t="inlineStr"/>
    </row>
    <row r="13">
      <c r="A13" s="4" t="inlineStr">
        <is>
          <t>Churn mensuel An 1</t>
        </is>
      </c>
      <c r="B13" s="9" t="n">
        <v>0.03</v>
      </c>
      <c r="C13" s="6" t="inlineStr">
        <is>
          <t>Benchmark SaaS SMB</t>
        </is>
      </c>
    </row>
    <row r="14">
      <c r="A14" s="4" t="inlineStr">
        <is>
          <t>Churn mensuel An 2</t>
        </is>
      </c>
      <c r="B14" s="9" t="n">
        <v>0.025</v>
      </c>
      <c r="C14" s="6" t="inlineStr">
        <is>
          <t>Amelioration onboarding</t>
        </is>
      </c>
    </row>
    <row r="15">
      <c r="A15" s="4" t="inlineStr">
        <is>
          <t>Churn mensuel An 3</t>
        </is>
      </c>
      <c r="B15" s="9" t="n">
        <v>0.02</v>
      </c>
      <c r="C15" s="6" t="inlineStr">
        <is>
          <t>Produit mature</t>
        </is>
      </c>
    </row>
    <row r="16">
      <c r="A16" s="5" t="inlineStr"/>
      <c r="B16" s="5" t="inlineStr"/>
      <c r="C16" s="6" t="inlineStr"/>
    </row>
    <row r="17">
      <c r="A17" s="4" t="inlineStr">
        <is>
          <t>Cout infra fixe (EUR/mois)</t>
        </is>
      </c>
      <c r="B17" s="7" t="n">
        <v>150</v>
      </c>
      <c r="C17" s="6" t="inlineStr">
        <is>
          <t>Render + Supabase base</t>
        </is>
      </c>
    </row>
    <row r="18">
      <c r="A18" s="4" t="inlineStr">
        <is>
          <t>Cout variable/client (EUR/mois)</t>
        </is>
      </c>
      <c r="B18" s="10" t="n">
        <v>5</v>
      </c>
      <c r="C18" s="6" t="inlineStr">
        <is>
          <t>Anthropic + Twilio + Resend</t>
        </is>
      </c>
    </row>
    <row r="19">
      <c r="A19" s="4" t="inlineStr">
        <is>
          <t>Commission Stripe (%)</t>
        </is>
      </c>
      <c r="B19" s="9" t="n">
        <v>0.029</v>
      </c>
      <c r="C19" s="6" t="inlineStr">
        <is>
          <t>2.9%</t>
        </is>
      </c>
    </row>
    <row r="20">
      <c r="A20" s="5" t="inlineStr"/>
      <c r="B20" s="5" t="inlineStr"/>
      <c r="C20" s="6" t="inlineStr"/>
    </row>
    <row r="21">
      <c r="A21" s="4" t="inlineStr">
        <is>
          <t>Salaire fondateur M1-M6</t>
        </is>
      </c>
      <c r="B21" s="5" t="n">
        <v>0</v>
      </c>
      <c r="C21" s="6" t="inlineStr">
        <is>
          <t>Pas de salaire les 6 premiers mois</t>
        </is>
      </c>
    </row>
    <row r="22">
      <c r="A22" s="4" t="inlineStr">
        <is>
          <t>Salaire fondateur M7+ An 1 (EUR/mois)</t>
        </is>
      </c>
      <c r="B22" s="7" t="n">
        <v>1200</v>
      </c>
      <c r="C22" s="6" t="inlineStr">
        <is>
          <t>Phase demarrage</t>
        </is>
      </c>
    </row>
    <row r="23">
      <c r="A23" s="4" t="inlineStr">
        <is>
          <t>Salaire fondateur An 2 (EUR/mois)</t>
        </is>
      </c>
      <c r="B23" s="7" t="n">
        <v>2000</v>
      </c>
      <c r="C23" s="6" t="inlineStr">
        <is>
          <t>Croissance</t>
        </is>
      </c>
    </row>
    <row r="24">
      <c r="A24" s="4" t="inlineStr">
        <is>
          <t>Salaire fondateur An 3 (EUR/mois)</t>
        </is>
      </c>
      <c r="B24" s="7" t="n">
        <v>3000</v>
      </c>
      <c r="C24" s="6" t="inlineStr">
        <is>
          <t>Rentabilite</t>
        </is>
      </c>
    </row>
    <row r="25">
      <c r="A25" s="4" t="inlineStr">
        <is>
          <t>Taux charges sociales</t>
        </is>
      </c>
      <c r="B25" s="8" t="n">
        <v>0.45</v>
      </c>
      <c r="C25" s="6" t="inlineStr">
        <is>
          <t>SASU regime general</t>
        </is>
      </c>
    </row>
    <row r="26">
      <c r="A26" s="5" t="inlineStr"/>
      <c r="B26" s="5" t="inlineStr"/>
      <c r="C26" s="6" t="inlineStr"/>
    </row>
    <row r="27">
      <c r="A27" s="4" t="inlineStr">
        <is>
          <t>Comptable / juridique</t>
        </is>
      </c>
      <c r="B27" s="5" t="n">
        <v>0</v>
      </c>
      <c r="C27" s="6" t="inlineStr">
        <is>
          <t>Fondateur = comptable (BEP + 10 ans exp)</t>
        </is>
      </c>
    </row>
    <row r="28">
      <c r="A28" s="4" t="inlineStr">
        <is>
          <t>Loyer</t>
        </is>
      </c>
      <c r="B28" s="5" t="n">
        <v>0</v>
      </c>
      <c r="C28" s="6" t="inlineStr">
        <is>
          <t>Societe hebergee au domicile du fondateur</t>
        </is>
      </c>
    </row>
    <row r="29">
      <c r="A29" s="4" t="inlineStr">
        <is>
          <t>Marketing An 1 (EUR/mois)</t>
        </is>
      </c>
      <c r="B29" s="7" t="n">
        <v>300</v>
      </c>
      <c r="C29" s="6" t="inlineStr">
        <is>
          <t>Reseaux sociaux + pub ciblee</t>
        </is>
      </c>
    </row>
    <row r="30">
      <c r="A30" s="4" t="inlineStr">
        <is>
          <t>Marketing An 2+ (EUR/mois)</t>
        </is>
      </c>
      <c r="B30" s="7" t="n">
        <v>800</v>
      </c>
      <c r="C30" s="6" t="inlineStr">
        <is>
          <t>Ads + partenariats</t>
        </is>
      </c>
    </row>
    <row r="31">
      <c r="A31" s="5" t="inlineStr"/>
      <c r="B31" s="5" t="inlineStr"/>
      <c r="C31" s="6" t="inlineStr"/>
    </row>
    <row r="32">
      <c r="A32" s="4" t="inlineStr">
        <is>
          <t>TVA</t>
        </is>
      </c>
      <c r="B32" s="8" t="n">
        <v>0.2</v>
      </c>
      <c r="C32" s="6" t="inlineStr">
        <is>
          <t>Taux standard</t>
        </is>
      </c>
    </row>
    <row r="33">
      <c r="A33" s="4" t="inlineStr">
        <is>
          <t>IS taux reduit (&lt; 42500 EUR)</t>
        </is>
      </c>
      <c r="B33" s="8" t="n">
        <v>0.15</v>
      </c>
      <c r="C33" s="6" t="inlineStr">
        <is>
          <t>PME</t>
        </is>
      </c>
    </row>
    <row r="34">
      <c r="A34" s="4" t="inlineStr">
        <is>
          <t>IS taux normal</t>
        </is>
      </c>
      <c r="B34" s="8" t="n">
        <v>0.25</v>
      </c>
      <c r="C34" s="6" t="inlineStr">
        <is>
          <t>Au-dela de 42500 EUR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8A169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3" customWidth="1" min="3" max="3"/>
    <col width="42" customWidth="1" min="4" max="4"/>
    <col width="15" customWidth="1" min="5" max="5"/>
  </cols>
  <sheetData>
    <row r="1">
      <c r="A1" s="1" t="inlineStr">
        <is>
          <t>PLAN DE FINANCEMENT INITIAL — 40 000 EUR (+ NACRE 5K optionnel)</t>
        </is>
      </c>
    </row>
    <row r="3">
      <c r="A3" s="11" t="inlineStr">
        <is>
          <t>BESOINS</t>
        </is>
      </c>
      <c r="D3" s="11" t="inlineStr">
        <is>
          <t>RESSOURCES</t>
        </is>
      </c>
    </row>
    <row r="4">
      <c r="A4" s="3" t="inlineStr">
        <is>
          <t>Poste</t>
        </is>
      </c>
      <c r="B4" s="3" t="inlineStr">
        <is>
          <t>Montant</t>
        </is>
      </c>
      <c r="C4" s="3" t="n"/>
      <c r="D4" s="3" t="inlineStr">
        <is>
          <t>Poste</t>
        </is>
      </c>
      <c r="E4" s="3" t="inlineStr">
        <is>
          <t>Montant</t>
        </is>
      </c>
    </row>
    <row r="5">
      <c r="A5" s="5" t="inlineStr">
        <is>
          <t>Fonds de roulement (6 mois charges mini)</t>
        </is>
      </c>
      <c r="B5" s="12" t="n">
        <v>18000</v>
      </c>
      <c r="D5" s="5" t="inlineStr">
        <is>
          <t>Capital social SASU</t>
        </is>
      </c>
      <c r="E5" s="12" t="n">
        <v>1</v>
      </c>
    </row>
    <row r="6">
      <c r="A6" s="5" t="inlineStr">
        <is>
          <t>Tresorerie de securite (couverture pertes Y1)</t>
        </is>
      </c>
      <c r="B6" s="12" t="n">
        <v>16000</v>
      </c>
      <c r="D6" s="5" t="inlineStr">
        <is>
          <t>Apport en nature (logiciel NEXUS v3.25)</t>
        </is>
      </c>
      <c r="E6" s="12" t="n">
        <v>80000</v>
      </c>
    </row>
    <row r="7">
      <c r="A7" s="5" t="inlineStr">
        <is>
          <t>Marketing lancement (reseaux, pub ciblee)</t>
        </is>
      </c>
      <c r="B7" s="12" t="n">
        <v>3000</v>
      </c>
      <c r="D7" s="5" t="inlineStr">
        <is>
          <t>Pret d'honneur Initiative 95</t>
        </is>
      </c>
      <c r="E7" s="12" t="n">
        <v>15000</v>
      </c>
    </row>
    <row r="8">
      <c r="A8" s="5" t="inlineStr">
        <is>
          <t>Materiel informatique</t>
        </is>
      </c>
      <c r="B8" s="12" t="n">
        <v>1500</v>
      </c>
      <c r="D8" s="5" t="inlineStr">
        <is>
          <t>Pret bancaire (garanti BPI 60%)</t>
        </is>
      </c>
      <c r="E8" s="12" t="n">
        <v>25000</v>
      </c>
    </row>
    <row r="9">
      <c r="A9" s="5" t="inlineStr">
        <is>
          <t>Frais d'etablissement (SASU, juridique)</t>
        </is>
      </c>
      <c r="B9" s="12" t="n">
        <v>1500</v>
      </c>
      <c r="D9" s="5" t="inlineStr">
        <is>
          <t>NACRE phase 2 (OPTIONNEL)</t>
        </is>
      </c>
      <c r="E9" s="12" t="n">
        <v>5000</v>
      </c>
    </row>
    <row r="11">
      <c r="A11" s="13" t="inlineStr">
        <is>
          <t>TOTAL BESOINS</t>
        </is>
      </c>
      <c r="B11" s="14">
        <f>SUM(B5:B9)</f>
        <v/>
      </c>
      <c r="C11" s="14" t="n"/>
      <c r="D11" s="14" t="inlineStr">
        <is>
          <t>TOTAL TRESORERIE BASE (sans NACRE)</t>
        </is>
      </c>
      <c r="E11" s="14">
        <f>E7+E8</f>
        <v/>
      </c>
    </row>
    <row r="13">
      <c r="A13" s="15" t="inlineStr">
        <is>
          <t>Equilibre (Ressources tresorerie - Besoins)</t>
        </is>
      </c>
      <c r="B13" s="16">
        <f>E11-B11</f>
        <v/>
      </c>
      <c r="D13" s="15" t="inlineStr">
        <is>
          <t>TOTAL AVEC NACRE (optionnel)</t>
        </is>
      </c>
      <c r="E13" s="17">
        <f>E7+E8+E9</f>
        <v/>
      </c>
    </row>
    <row r="15">
      <c r="A15" s="2" t="inlineStr">
        <is>
          <t>Note : L'apport en nature (80 000 EUR) valorise le logiciel developpe</t>
        </is>
      </c>
    </row>
    <row r="16">
      <c r="A16" s="2" t="inlineStr">
        <is>
          <t>pendant 18 mois. Il n'apporte pas de tresorerie mais renforce les fonds propres.</t>
        </is>
      </c>
    </row>
    <row r="17">
      <c r="A17" s="2" t="inlineStr">
        <is>
          <t>NACRE = gere par la Region (pas France Travail). Bonus si eligible, pas indispensable.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D6B20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8" customWidth="1" min="4" max="4"/>
    <col width="20" customWidth="1" min="5" max="5"/>
    <col width="15" customWidth="1" min="6" max="6"/>
  </cols>
  <sheetData>
    <row r="1">
      <c r="A1" s="1" t="inlineStr">
        <is>
          <t>EVOLUTION CLIENTS ET MRR — ANNEE 1</t>
        </is>
      </c>
    </row>
    <row r="2">
      <c r="A2" s="2" t="inlineStr">
        <is>
          <t>Les colonnes Nouveaux et Churn sont modifiables. Le reste se recalcule.</t>
        </is>
      </c>
    </row>
    <row r="3"/>
    <row r="4">
      <c r="A4" s="3" t="inlineStr">
        <is>
          <t>Mois</t>
        </is>
      </c>
      <c r="B4" s="3" t="inlineStr">
        <is>
          <t>Nouveaux</t>
        </is>
      </c>
      <c r="C4" s="3" t="inlineStr">
        <is>
          <t>Churn</t>
        </is>
      </c>
      <c r="D4" s="3" t="inlineStr">
        <is>
          <t>Clients fin mois</t>
        </is>
      </c>
      <c r="E4" s="3" t="inlineStr">
        <is>
          <t>MRR (EUR)</t>
        </is>
      </c>
      <c r="F4" s="3" t="inlineStr">
        <is>
          <t>ARR annualise</t>
        </is>
      </c>
    </row>
    <row r="5">
      <c r="A5" s="4" t="inlineStr">
        <is>
          <t>M1</t>
        </is>
      </c>
      <c r="B5" s="18" t="n">
        <v>6</v>
      </c>
      <c r="C5" s="18" t="n">
        <v>0</v>
      </c>
      <c r="D5" s="19">
        <f>B5-C5</f>
        <v/>
      </c>
      <c r="E5" s="12">
        <f>D5*Hypotheses!B11</f>
        <v/>
      </c>
      <c r="F5" s="12">
        <f>E5*12</f>
        <v/>
      </c>
    </row>
    <row r="6">
      <c r="A6" s="4" t="inlineStr">
        <is>
          <t>M2</t>
        </is>
      </c>
      <c r="B6" s="18" t="n">
        <v>7</v>
      </c>
      <c r="C6" s="18" t="n">
        <v>0</v>
      </c>
      <c r="D6" s="19">
        <f>D5+B6-C6</f>
        <v/>
      </c>
      <c r="E6" s="12">
        <f>D6*Hypotheses!B11</f>
        <v/>
      </c>
      <c r="F6" s="12">
        <f>E6*12</f>
        <v/>
      </c>
    </row>
    <row r="7">
      <c r="A7" s="4" t="inlineStr">
        <is>
          <t>M3</t>
        </is>
      </c>
      <c r="B7" s="18" t="n">
        <v>8</v>
      </c>
      <c r="C7" s="18" t="n">
        <v>0</v>
      </c>
      <c r="D7" s="19">
        <f>D6+B7-C7</f>
        <v/>
      </c>
      <c r="E7" s="12">
        <f>D7*Hypotheses!B11</f>
        <v/>
      </c>
      <c r="F7" s="12">
        <f>E7*12</f>
        <v/>
      </c>
    </row>
    <row r="8">
      <c r="A8" s="4" t="inlineStr">
        <is>
          <t>M4</t>
        </is>
      </c>
      <c r="B8" s="18" t="n">
        <v>9</v>
      </c>
      <c r="C8" s="18" t="n">
        <v>1</v>
      </c>
      <c r="D8" s="19">
        <f>D7+B8-C8</f>
        <v/>
      </c>
      <c r="E8" s="12">
        <f>D8*Hypotheses!B11</f>
        <v/>
      </c>
      <c r="F8" s="12">
        <f>E8*12</f>
        <v/>
      </c>
    </row>
    <row r="9">
      <c r="A9" s="4" t="inlineStr">
        <is>
          <t>M5</t>
        </is>
      </c>
      <c r="B9" s="18" t="n">
        <v>10</v>
      </c>
      <c r="C9" s="18" t="n">
        <v>1</v>
      </c>
      <c r="D9" s="19">
        <f>D8+B9-C9</f>
        <v/>
      </c>
      <c r="E9" s="12">
        <f>D9*Hypotheses!B11</f>
        <v/>
      </c>
      <c r="F9" s="12">
        <f>E9*12</f>
        <v/>
      </c>
    </row>
    <row r="10">
      <c r="A10" s="4" t="inlineStr">
        <is>
          <t>M6</t>
        </is>
      </c>
      <c r="B10" s="18" t="n">
        <v>10</v>
      </c>
      <c r="C10" s="18" t="n">
        <v>1</v>
      </c>
      <c r="D10" s="19">
        <f>D9+B10-C10</f>
        <v/>
      </c>
      <c r="E10" s="12">
        <f>D10*Hypotheses!B11</f>
        <v/>
      </c>
      <c r="F10" s="12">
        <f>E10*12</f>
        <v/>
      </c>
    </row>
    <row r="11">
      <c r="A11" s="4" t="inlineStr">
        <is>
          <t>M7</t>
        </is>
      </c>
      <c r="B11" s="18" t="n">
        <v>11</v>
      </c>
      <c r="C11" s="18" t="n">
        <v>1</v>
      </c>
      <c r="D11" s="19">
        <f>D10+B11-C11</f>
        <v/>
      </c>
      <c r="E11" s="12">
        <f>D11*Hypotheses!B11</f>
        <v/>
      </c>
      <c r="F11" s="12">
        <f>E11*12</f>
        <v/>
      </c>
    </row>
    <row r="12">
      <c r="A12" s="4" t="inlineStr">
        <is>
          <t>M8</t>
        </is>
      </c>
      <c r="B12" s="18" t="n">
        <v>12</v>
      </c>
      <c r="C12" s="18" t="n">
        <v>2</v>
      </c>
      <c r="D12" s="19">
        <f>D11+B12-C12</f>
        <v/>
      </c>
      <c r="E12" s="12">
        <f>D12*Hypotheses!B11</f>
        <v/>
      </c>
      <c r="F12" s="12">
        <f>E12*12</f>
        <v/>
      </c>
    </row>
    <row r="13">
      <c r="A13" s="4" t="inlineStr">
        <is>
          <t>M9</t>
        </is>
      </c>
      <c r="B13" s="18" t="n">
        <v>12</v>
      </c>
      <c r="C13" s="18" t="n">
        <v>2</v>
      </c>
      <c r="D13" s="19">
        <f>D12+B13-C13</f>
        <v/>
      </c>
      <c r="E13" s="12">
        <f>D13*Hypotheses!B11</f>
        <v/>
      </c>
      <c r="F13" s="12">
        <f>E13*12</f>
        <v/>
      </c>
    </row>
    <row r="14">
      <c r="A14" s="4" t="inlineStr">
        <is>
          <t>M10</t>
        </is>
      </c>
      <c r="B14" s="18" t="n">
        <v>13</v>
      </c>
      <c r="C14" s="18" t="n">
        <v>2</v>
      </c>
      <c r="D14" s="19">
        <f>D13+B14-C14</f>
        <v/>
      </c>
      <c r="E14" s="12">
        <f>D14*Hypotheses!B11</f>
        <v/>
      </c>
      <c r="F14" s="12">
        <f>E14*12</f>
        <v/>
      </c>
    </row>
    <row r="15">
      <c r="A15" s="4" t="inlineStr">
        <is>
          <t>M11</t>
        </is>
      </c>
      <c r="B15" s="18" t="n">
        <v>14</v>
      </c>
      <c r="C15" s="18" t="n">
        <v>3</v>
      </c>
      <c r="D15" s="19">
        <f>D14+B15-C15</f>
        <v/>
      </c>
      <c r="E15" s="12">
        <f>D15*Hypotheses!B11</f>
        <v/>
      </c>
      <c r="F15" s="12">
        <f>E15*12</f>
        <v/>
      </c>
    </row>
    <row r="16">
      <c r="A16" s="4" t="inlineStr">
        <is>
          <t>M12</t>
        </is>
      </c>
      <c r="B16" s="18" t="n">
        <v>14</v>
      </c>
      <c r="C16" s="18" t="n">
        <v>3</v>
      </c>
      <c r="D16" s="19">
        <f>D15+B16-C16</f>
        <v/>
      </c>
      <c r="E16" s="12">
        <f>D16*Hypotheses!B11</f>
        <v/>
      </c>
      <c r="F16" s="12">
        <f>E16*12</f>
        <v/>
      </c>
    </row>
    <row r="17">
      <c r="A17" s="13" t="inlineStr">
        <is>
          <t>Total An 1</t>
        </is>
      </c>
      <c r="B17" s="14">
        <f>SUM(B5:B16)</f>
        <v/>
      </c>
      <c r="C17" s="14">
        <f>SUM(C5:C16)</f>
        <v/>
      </c>
      <c r="D17" s="14">
        <f>D16</f>
        <v/>
      </c>
      <c r="E17" s="14">
        <f>E16</f>
        <v/>
      </c>
      <c r="F17" s="14">
        <f>F16</f>
        <v/>
      </c>
    </row>
    <row r="18"/>
    <row r="19">
      <c r="A19" s="11" t="inlineStr">
        <is>
          <t>An 2 (previsions)</t>
        </is>
      </c>
    </row>
    <row r="20">
      <c r="A20" s="20" t="inlineStr">
        <is>
          <t>Nouveaux clients</t>
        </is>
      </c>
      <c r="B20" s="21" t="n">
        <v>278</v>
      </c>
    </row>
    <row r="21">
      <c r="A21" s="20" t="inlineStr">
        <is>
          <t>Churn total</t>
        </is>
      </c>
      <c r="B21" s="21" t="n">
        <v>63</v>
      </c>
    </row>
    <row r="22">
      <c r="A22" s="15" t="inlineStr">
        <is>
          <t>Clients fin An 2</t>
        </is>
      </c>
      <c r="B22">
        <f>D17+B20-C21</f>
        <v/>
      </c>
    </row>
    <row r="23">
      <c r="A23" s="15" t="inlineStr">
        <is>
          <t>MRR fin An 2</t>
        </is>
      </c>
      <c r="B23" s="22">
        <f>B22*Hypotheses!B11</f>
        <v/>
      </c>
    </row>
    <row r="24"/>
    <row r="25">
      <c r="A25" s="11" t="inlineStr">
        <is>
          <t>An 3 (previsions)</t>
        </is>
      </c>
    </row>
    <row r="26">
      <c r="A26" s="20" t="inlineStr">
        <is>
          <t>Nouveaux clients</t>
        </is>
      </c>
      <c r="B26" s="21" t="n">
        <v>285</v>
      </c>
    </row>
    <row r="27">
      <c r="A27" s="20" t="inlineStr">
        <is>
          <t>Churn total</t>
        </is>
      </c>
      <c r="B27" s="21" t="n">
        <v>60</v>
      </c>
    </row>
    <row r="28">
      <c r="A28" s="15" t="inlineStr">
        <is>
          <t>Clients fin An 3</t>
        </is>
      </c>
      <c r="B28">
        <f>B22+B26-C27</f>
        <v/>
      </c>
    </row>
    <row r="29">
      <c r="A29" s="15" t="inlineStr">
        <is>
          <t>MRR fin An 3</t>
        </is>
      </c>
      <c r="B29" s="22">
        <f>B28*Hypotheses!B11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53E3E"/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COMPTE DE RESULTAT PREVISIONNEL (3 ANS)</t>
        </is>
      </c>
    </row>
    <row r="2">
      <c r="A2" s="2" t="inlineStr">
        <is>
          <t>Lie aux onglets Hypotheses et Clients &amp; MRR — Solo founder An 1/An 2, 1er recrutement An 3</t>
        </is>
      </c>
    </row>
    <row r="4">
      <c r="A4" s="3" t="inlineStr">
        <is>
          <t>Poste</t>
        </is>
      </c>
      <c r="B4" s="3" t="inlineStr">
        <is>
          <t>An 1</t>
        </is>
      </c>
      <c r="C4" s="3" t="inlineStr">
        <is>
          <t>An 2</t>
        </is>
      </c>
      <c r="D4" s="3" t="inlineStr">
        <is>
          <t>An 3</t>
        </is>
      </c>
    </row>
    <row r="6">
      <c r="A6" s="11" t="inlineStr">
        <is>
          <t>PRODUITS D'EXPLOITATION</t>
        </is>
      </c>
    </row>
    <row r="7">
      <c r="A7" s="5" t="inlineStr">
        <is>
          <t>Abonnements SaaS + credits IA (HT)</t>
        </is>
      </c>
      <c r="B7" s="23" t="n">
        <v>35860</v>
      </c>
      <c r="C7" s="23" t="n">
        <v>149710</v>
      </c>
      <c r="D7" s="23" t="n">
        <v>309700</v>
      </c>
    </row>
    <row r="8">
      <c r="A8" s="5" t="inlineStr">
        <is>
          <t>Setup / accompagnement</t>
        </is>
      </c>
      <c r="B8" s="23" t="n">
        <v>6000</v>
      </c>
      <c r="C8" s="23" t="n">
        <v>13500</v>
      </c>
      <c r="D8" s="23" t="n">
        <v>16000</v>
      </c>
    </row>
    <row r="9">
      <c r="A9" s="13" t="inlineStr">
        <is>
          <t>TOTAL CA HT</t>
        </is>
      </c>
      <c r="B9" s="14">
        <f>B7+B8</f>
        <v/>
      </c>
      <c r="C9" s="14">
        <f>C7+C8</f>
        <v/>
      </c>
      <c r="D9" s="14">
        <f>D7+D8</f>
        <v/>
      </c>
    </row>
    <row r="11">
      <c r="A11" s="11" t="inlineStr">
        <is>
          <t>CHARGES VARIABLES</t>
        </is>
      </c>
    </row>
    <row r="12">
      <c r="A12" s="5" t="inlineStr">
        <is>
          <t>Hebergement cloud (Render, Supabase)</t>
        </is>
      </c>
      <c r="B12" s="23" t="n">
        <v>2400</v>
      </c>
      <c r="C12" s="23" t="n">
        <v>4800</v>
      </c>
      <c r="D12" s="23" t="n">
        <v>8400</v>
      </c>
    </row>
    <row r="13">
      <c r="A13" s="5" t="inlineStr">
        <is>
          <t>Services tiers (Anthropic, Twilio, Resend)</t>
        </is>
      </c>
      <c r="B13" s="23" t="n">
        <v>3200</v>
      </c>
      <c r="C13" s="23" t="n">
        <v>12000</v>
      </c>
      <c r="D13" s="23" t="n">
        <v>24000</v>
      </c>
    </row>
    <row r="14">
      <c r="A14" s="5" t="inlineStr">
        <is>
          <t>Commissions Stripe (2.9%)</t>
        </is>
      </c>
      <c r="B14" s="23" t="n">
        <v>1200</v>
      </c>
      <c r="C14" s="23" t="n">
        <v>4700</v>
      </c>
      <c r="D14" s="23" t="n">
        <v>9500</v>
      </c>
    </row>
    <row r="15">
      <c r="A15" s="13" t="inlineStr">
        <is>
          <t>Total charges variables</t>
        </is>
      </c>
      <c r="B15" s="14">
        <f>SUM(B12:B14)</f>
        <v/>
      </c>
      <c r="C15" s="14">
        <f>SUM(C12:C14)</f>
        <v/>
      </c>
      <c r="D15" s="14">
        <f>SUM(D12:D14)</f>
        <v/>
      </c>
    </row>
    <row r="17">
      <c r="A17" s="4" t="inlineStr">
        <is>
          <t>MARGE BRUTE</t>
        </is>
      </c>
      <c r="B17" s="24">
        <f>B9-B15</f>
        <v/>
      </c>
      <c r="C17" s="24">
        <f>C9-C15</f>
        <v/>
      </c>
      <c r="D17" s="24">
        <f>D9-D15</f>
        <v/>
      </c>
    </row>
    <row r="18">
      <c r="A18" s="5" t="inlineStr">
        <is>
          <t>Taux de marge brute</t>
        </is>
      </c>
      <c r="B18" s="25">
        <f>B17/B9</f>
        <v/>
      </c>
      <c r="C18" s="25">
        <f>C17/C9</f>
        <v/>
      </c>
      <c r="D18" s="25">
        <f>D17/D9</f>
        <v/>
      </c>
    </row>
    <row r="20">
      <c r="A20" s="11" t="inlineStr">
        <is>
          <t>CHARGES FIXES</t>
        </is>
      </c>
    </row>
    <row r="21">
      <c r="A21" s="5" t="inlineStr">
        <is>
          <t>Remuneration fondateur (net)</t>
        </is>
      </c>
      <c r="B21" s="23" t="n">
        <v>7200</v>
      </c>
      <c r="C21" s="23" t="n">
        <v>24000</v>
      </c>
      <c r="D21" s="23" t="n">
        <v>36000</v>
      </c>
    </row>
    <row r="22">
      <c r="A22" s="5" t="inlineStr">
        <is>
          <t>Charges sociales (45%)</t>
        </is>
      </c>
      <c r="B22" s="23">
        <f>B21*Hypotheses!B25</f>
        <v/>
      </c>
      <c r="C22" s="23">
        <f>C21*Hypotheses!B25</f>
        <v/>
      </c>
      <c r="D22" s="23">
        <f>D21*Hypotheses!B25</f>
        <v/>
      </c>
    </row>
    <row r="23">
      <c r="A23" s="5" t="inlineStr">
        <is>
          <t>Prestataires externes (missions)</t>
        </is>
      </c>
      <c r="B23" s="23" t="n">
        <v>0</v>
      </c>
      <c r="C23" s="23" t="n">
        <v>10000</v>
      </c>
      <c r="D23" s="23" t="n">
        <v>6000</v>
      </c>
    </row>
    <row r="24">
      <c r="A24" s="5" t="inlineStr">
        <is>
          <t>Salaire support/CSM (a partir M25)</t>
        </is>
      </c>
      <c r="B24" s="23" t="n">
        <v>0</v>
      </c>
      <c r="C24" s="23" t="n">
        <v>0</v>
      </c>
      <c r="D24" s="23" t="n">
        <v>24000</v>
      </c>
    </row>
    <row r="25">
      <c r="A25" s="5" t="inlineStr">
        <is>
          <t>Charges sociales CSM</t>
        </is>
      </c>
      <c r="B25" s="23" t="n">
        <v>0</v>
      </c>
      <c r="C25" s="23" t="n">
        <v>0</v>
      </c>
      <c r="D25" s="23">
        <f>D24*Hypotheses!B25</f>
        <v/>
      </c>
    </row>
    <row r="26">
      <c r="A26" s="5" t="inlineStr">
        <is>
          <t>Marketing &amp; acquisition</t>
        </is>
      </c>
      <c r="B26" s="23" t="n">
        <v>3600</v>
      </c>
      <c r="C26" s="23" t="n">
        <v>9600</v>
      </c>
      <c r="D26" s="23" t="n">
        <v>14400</v>
      </c>
    </row>
    <row r="27">
      <c r="A27" s="5" t="inlineStr">
        <is>
          <t>Assurances (RC Pro)</t>
        </is>
      </c>
      <c r="B27" s="23" t="n">
        <v>1000</v>
      </c>
      <c r="C27" s="23" t="n">
        <v>1200</v>
      </c>
      <c r="D27" s="23" t="n">
        <v>2000</v>
      </c>
    </row>
    <row r="28">
      <c r="A28" s="5" t="inlineStr">
        <is>
          <t>Comptable / juridique (fondateur = comptable)</t>
        </is>
      </c>
      <c r="B28" s="23" t="n">
        <v>0</v>
      </c>
      <c r="C28" s="23" t="n">
        <v>0</v>
      </c>
      <c r="D28" s="23" t="n">
        <v>0</v>
      </c>
    </row>
    <row r="29">
      <c r="A29" s="5" t="inlineStr">
        <is>
          <t>Materiel / licences</t>
        </is>
      </c>
      <c r="B29" s="23" t="n">
        <v>500</v>
      </c>
      <c r="C29" s="23" t="n">
        <v>1500</v>
      </c>
      <c r="D29" s="23" t="n">
        <v>2500</v>
      </c>
    </row>
    <row r="30">
      <c r="A30" s="5" t="inlineStr">
        <is>
          <t>Loyer / coworking (domicile)</t>
        </is>
      </c>
      <c r="B30" s="23" t="n">
        <v>0</v>
      </c>
      <c r="C30" s="23" t="n">
        <v>0</v>
      </c>
      <c r="D30" s="23" t="n">
        <v>0</v>
      </c>
    </row>
    <row r="31">
      <c r="A31" s="5" t="inlineStr">
        <is>
          <t>Divers / imprevus</t>
        </is>
      </c>
      <c r="B31" s="23" t="n">
        <v>1200</v>
      </c>
      <c r="C31" s="23" t="n">
        <v>2000</v>
      </c>
      <c r="D31" s="23" t="n">
        <v>3000</v>
      </c>
    </row>
    <row r="32">
      <c r="A32" s="13" t="inlineStr">
        <is>
          <t>Total charges fixes</t>
        </is>
      </c>
      <c r="B32" s="14">
        <f>SUM(B21:B31)</f>
        <v/>
      </c>
      <c r="C32" s="14">
        <f>SUM(C21:C31)</f>
        <v/>
      </c>
      <c r="D32" s="14">
        <f>SUM(D21:D31)</f>
        <v/>
      </c>
    </row>
    <row r="34">
      <c r="A34" s="4" t="inlineStr">
        <is>
          <t>RESULTAT D'EXPLOITATION</t>
        </is>
      </c>
      <c r="B34" s="23">
        <f>B17-B32</f>
        <v/>
      </c>
      <c r="C34" s="23">
        <f>C17-C32</f>
        <v/>
      </c>
      <c r="D34" s="23">
        <f>D17-D32</f>
        <v/>
      </c>
    </row>
    <row r="35">
      <c r="A35" s="5" t="inlineStr">
        <is>
          <t>Charges financieres (interets emprunts)</t>
        </is>
      </c>
      <c r="B35" s="23" t="n">
        <v>375</v>
      </c>
      <c r="C35" s="23" t="n">
        <v>625</v>
      </c>
      <c r="D35" s="23" t="n">
        <v>500</v>
      </c>
    </row>
    <row r="36">
      <c r="A36" s="5" t="inlineStr">
        <is>
          <t>RESULTAT COURANT</t>
        </is>
      </c>
      <c r="B36" s="23">
        <f>B34-B35</f>
        <v/>
      </c>
      <c r="C36" s="23">
        <f>C34-C35</f>
        <v/>
      </c>
      <c r="D36" s="23">
        <f>D34-D35</f>
        <v/>
      </c>
    </row>
    <row r="37">
      <c r="A37" s="5" t="inlineStr">
        <is>
          <t>IS (15%/25%)</t>
        </is>
      </c>
      <c r="B37" s="23">
        <f>IF(B36&lt;=0,0,IF(B36&lt;=42500,B36*Hypotheses!B33,42500*Hypotheses!B33+(B36-42500)*Hypotheses!B34))</f>
        <v/>
      </c>
      <c r="C37" s="23">
        <f>IF(C36&lt;=0,0,IF(C36&lt;=42500,C36*Hypotheses!B33,42500*Hypotheses!B33+(C36-42500)*Hypotheses!B34))</f>
        <v/>
      </c>
      <c r="D37" s="23">
        <f>IF(D36&lt;=0,0,IF(D36&lt;=42500,D36*Hypotheses!B33,42500*Hypotheses!B33+(D36-42500)*Hypotheses!B34))</f>
        <v/>
      </c>
    </row>
    <row r="38">
      <c r="A38" s="13" t="inlineStr">
        <is>
          <t>RESULTAT NET</t>
        </is>
      </c>
      <c r="B38" s="14">
        <f>B36-B37</f>
        <v/>
      </c>
      <c r="C38" s="14">
        <f>C36-C37</f>
        <v/>
      </c>
      <c r="D38" s="14">
        <f>D36-D37</f>
        <v/>
      </c>
    </row>
    <row r="40">
      <c r="A40" s="4" t="inlineStr">
        <is>
          <t>CAF (Resultat + amortissements)</t>
        </is>
      </c>
      <c r="B40" s="23">
        <f>B38+1500</f>
        <v/>
      </c>
      <c r="C40" s="23">
        <f>C38+1500</f>
        <v/>
      </c>
      <c r="D40" s="23">
        <f>D38+1500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5AD5"/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PLAN DE TRESORERIE MENSUEL — ANNEE 1 (base 40K, sans NACRE)</t>
        </is>
      </c>
    </row>
    <row r="3">
      <c r="A3" s="3" t="inlineStr"/>
      <c r="B3" s="3" t="inlineStr">
        <is>
          <t>M1</t>
        </is>
      </c>
      <c r="C3" s="3" t="inlineStr">
        <is>
          <t>M2</t>
        </is>
      </c>
      <c r="D3" s="3" t="inlineStr">
        <is>
          <t>M3</t>
        </is>
      </c>
      <c r="E3" s="3" t="inlineStr">
        <is>
          <t>M4</t>
        </is>
      </c>
      <c r="F3" s="3" t="inlineStr">
        <is>
          <t>M5</t>
        </is>
      </c>
      <c r="G3" s="3" t="inlineStr">
        <is>
          <t>M6</t>
        </is>
      </c>
      <c r="H3" s="3" t="inlineStr">
        <is>
          <t>M7</t>
        </is>
      </c>
      <c r="I3" s="3" t="inlineStr">
        <is>
          <t>M8</t>
        </is>
      </c>
      <c r="J3" s="3" t="inlineStr">
        <is>
          <t>M9</t>
        </is>
      </c>
      <c r="K3" s="3" t="inlineStr">
        <is>
          <t>M10</t>
        </is>
      </c>
      <c r="L3" s="3" t="inlineStr">
        <is>
          <t>M11</t>
        </is>
      </c>
      <c r="M3" s="3" t="inlineStr">
        <is>
          <t>M12</t>
        </is>
      </c>
      <c r="N3" s="3" t="inlineStr">
        <is>
          <t>TOTAL</t>
        </is>
      </c>
    </row>
    <row r="4">
      <c r="A4" s="11" t="inlineStr">
        <is>
          <t>ENCAISSEMENTS</t>
        </is>
      </c>
    </row>
    <row r="5">
      <c r="A5" t="inlineStr">
        <is>
          <t>CA TTC (MRR x 1.2)</t>
        </is>
      </c>
      <c r="B5" s="12">
        <f>'Clients &amp; MRR'!E5*(1+Hypotheses!B32)</f>
        <v/>
      </c>
      <c r="C5" s="12">
        <f>'Clients &amp; MRR'!E6*(1+Hypotheses!B32)</f>
        <v/>
      </c>
      <c r="D5" s="12">
        <f>'Clients &amp; MRR'!E7*(1+Hypotheses!B32)</f>
        <v/>
      </c>
      <c r="E5" s="12">
        <f>'Clients &amp; MRR'!E8*(1+Hypotheses!B32)</f>
        <v/>
      </c>
      <c r="F5" s="12">
        <f>'Clients &amp; MRR'!E9*(1+Hypotheses!B32)</f>
        <v/>
      </c>
      <c r="G5" s="12">
        <f>'Clients &amp; MRR'!E10*(1+Hypotheses!B32)</f>
        <v/>
      </c>
      <c r="H5" s="12">
        <f>'Clients &amp; MRR'!E11*(1+Hypotheses!B32)</f>
        <v/>
      </c>
      <c r="I5" s="12">
        <f>'Clients &amp; MRR'!E12*(1+Hypotheses!B32)</f>
        <v/>
      </c>
      <c r="J5" s="12">
        <f>'Clients &amp; MRR'!E13*(1+Hypotheses!B32)</f>
        <v/>
      </c>
      <c r="K5" s="12">
        <f>'Clients &amp; MRR'!E14*(1+Hypotheses!B32)</f>
        <v/>
      </c>
      <c r="L5" s="12">
        <f>'Clients &amp; MRR'!E15*(1+Hypotheses!B32)</f>
        <v/>
      </c>
      <c r="M5" s="12">
        <f>'Clients &amp; MRR'!E16*(1+Hypotheses!B32)</f>
        <v/>
      </c>
      <c r="N5" s="22">
        <f>SUM(B5:M5)</f>
        <v/>
      </c>
    </row>
    <row r="6">
      <c r="A6" t="inlineStr">
        <is>
          <t>Pret honneur Initiative 95</t>
        </is>
      </c>
      <c r="B6" s="22" t="n">
        <v>15000</v>
      </c>
      <c r="N6" s="22">
        <f>SUM(B6:M6)</f>
        <v/>
      </c>
    </row>
    <row r="7">
      <c r="A7" t="inlineStr">
        <is>
          <t>Pret bancaire (garanti BPI)</t>
        </is>
      </c>
      <c r="D7" s="22" t="n">
        <v>25000</v>
      </c>
      <c r="N7" s="22">
        <f>SUM(B7:M7)</f>
        <v/>
      </c>
    </row>
    <row r="8">
      <c r="A8" s="2" t="inlineStr">
        <is>
          <t>NACRE phase 2 (OPTIONNEL)</t>
        </is>
      </c>
      <c r="N8" s="22" t="n">
        <v>0</v>
      </c>
    </row>
    <row r="9">
      <c r="A9" s="13" t="inlineStr">
        <is>
          <t>TOTAL ENCAISSEMENTS</t>
        </is>
      </c>
      <c r="B9" s="14">
        <f>SUM(B5:B8)</f>
        <v/>
      </c>
      <c r="C9" s="14">
        <f>SUM(C5:C8)</f>
        <v/>
      </c>
      <c r="D9" s="14">
        <f>SUM(D5:D8)</f>
        <v/>
      </c>
      <c r="E9" s="14">
        <f>SUM(E5:E8)</f>
        <v/>
      </c>
      <c r="F9" s="14">
        <f>SUM(F5:F8)</f>
        <v/>
      </c>
      <c r="G9" s="14">
        <f>SUM(G5:G8)</f>
        <v/>
      </c>
      <c r="H9" s="14">
        <f>SUM(H5:H8)</f>
        <v/>
      </c>
      <c r="I9" s="14">
        <f>SUM(I5:I8)</f>
        <v/>
      </c>
      <c r="J9" s="14">
        <f>SUM(J5:J8)</f>
        <v/>
      </c>
      <c r="K9" s="14">
        <f>SUM(K5:K8)</f>
        <v/>
      </c>
      <c r="L9" s="14">
        <f>SUM(L5:L8)</f>
        <v/>
      </c>
      <c r="M9" s="14">
        <f>SUM(M5:M8)</f>
        <v/>
      </c>
      <c r="N9" s="14">
        <f>SUM(N5:N8)</f>
        <v/>
      </c>
    </row>
    <row r="11">
      <c r="A11" s="11" t="inlineStr">
        <is>
          <t>DECAISSEMENTS</t>
        </is>
      </c>
    </row>
    <row r="12">
      <c r="A12" s="5" t="inlineStr">
        <is>
          <t>Hebergement cloud</t>
        </is>
      </c>
      <c r="B12" s="12" t="n">
        <v>150</v>
      </c>
      <c r="C12" s="12" t="n">
        <v>150</v>
      </c>
      <c r="D12" s="12" t="n">
        <v>175</v>
      </c>
      <c r="E12" s="12" t="n">
        <v>175</v>
      </c>
      <c r="F12" s="12" t="n">
        <v>200</v>
      </c>
      <c r="G12" s="12" t="n">
        <v>200</v>
      </c>
      <c r="H12" s="12" t="n">
        <v>200</v>
      </c>
      <c r="I12" s="12" t="n">
        <v>200</v>
      </c>
      <c r="J12" s="12" t="n">
        <v>225</v>
      </c>
      <c r="K12" s="12" t="n">
        <v>225</v>
      </c>
      <c r="L12" s="12" t="n">
        <v>250</v>
      </c>
      <c r="M12" s="12" t="n">
        <v>250</v>
      </c>
      <c r="N12" s="12">
        <f>SUM(B12:M12)</f>
        <v/>
      </c>
    </row>
    <row r="13">
      <c r="A13" s="5" t="inlineStr">
        <is>
          <t>Services tiers (Anthropic/Twilio/Resend)</t>
        </is>
      </c>
      <c r="B13" s="12" t="n">
        <v>150</v>
      </c>
      <c r="C13" s="12" t="n">
        <v>175</v>
      </c>
      <c r="D13" s="12" t="n">
        <v>200</v>
      </c>
      <c r="E13" s="12" t="n">
        <v>225</v>
      </c>
      <c r="F13" s="12" t="n">
        <v>250</v>
      </c>
      <c r="G13" s="12" t="n">
        <v>275</v>
      </c>
      <c r="H13" s="12" t="n">
        <v>300</v>
      </c>
      <c r="I13" s="12" t="n">
        <v>325</v>
      </c>
      <c r="J13" s="12" t="n">
        <v>350</v>
      </c>
      <c r="K13" s="12" t="n">
        <v>375</v>
      </c>
      <c r="L13" s="12" t="n">
        <v>375</v>
      </c>
      <c r="M13" s="12" t="n">
        <v>400</v>
      </c>
      <c r="N13" s="12">
        <f>SUM(B13:M13)</f>
        <v/>
      </c>
    </row>
    <row r="14">
      <c r="A14" s="5" t="inlineStr">
        <is>
          <t>Commissions Stripe</t>
        </is>
      </c>
      <c r="B14" s="12" t="n">
        <v>22</v>
      </c>
      <c r="C14" s="12" t="n">
        <v>37</v>
      </c>
      <c r="D14" s="12" t="n">
        <v>54</v>
      </c>
      <c r="E14" s="12" t="n">
        <v>70</v>
      </c>
      <c r="F14" s="12" t="n">
        <v>89</v>
      </c>
      <c r="G14" s="12" t="n">
        <v>107</v>
      </c>
      <c r="H14" s="12" t="n">
        <v>128</v>
      </c>
      <c r="I14" s="12" t="n">
        <v>148</v>
      </c>
      <c r="J14" s="12" t="n">
        <v>167</v>
      </c>
      <c r="K14" s="12" t="n">
        <v>190</v>
      </c>
      <c r="L14" s="12" t="n">
        <v>213</v>
      </c>
      <c r="M14" s="12" t="n">
        <v>234</v>
      </c>
      <c r="N14" s="12">
        <f>SUM(B14:M14)</f>
        <v/>
      </c>
    </row>
    <row r="15">
      <c r="A15" s="5" t="inlineStr">
        <is>
          <t>Salaire fondateur net (M7-M12)</t>
        </is>
      </c>
      <c r="B15" s="26" t="n">
        <v>0</v>
      </c>
      <c r="C15" s="26" t="n">
        <v>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1200</v>
      </c>
      <c r="I15" s="26" t="n">
        <v>1200</v>
      </c>
      <c r="J15" s="26" t="n">
        <v>1200</v>
      </c>
      <c r="K15" s="26" t="n">
        <v>1200</v>
      </c>
      <c r="L15" s="26" t="n">
        <v>1200</v>
      </c>
      <c r="M15" s="26" t="n">
        <v>1200</v>
      </c>
      <c r="N15" s="12">
        <f>SUM(B15:M15)</f>
        <v/>
      </c>
    </row>
    <row r="16">
      <c r="A16" s="5" t="inlineStr">
        <is>
          <t>Charges sociales fondateur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540</v>
      </c>
      <c r="I16" s="12" t="n">
        <v>540</v>
      </c>
      <c r="J16" s="12" t="n">
        <v>540</v>
      </c>
      <c r="K16" s="12" t="n">
        <v>540</v>
      </c>
      <c r="L16" s="12" t="n">
        <v>540</v>
      </c>
      <c r="M16" s="12" t="n">
        <v>540</v>
      </c>
      <c r="N16" s="12">
        <f>SUM(B16:M16)</f>
        <v/>
      </c>
    </row>
    <row r="17">
      <c r="A17" s="5" t="inlineStr">
        <is>
          <t>Marketing</t>
        </is>
      </c>
      <c r="B17" s="12" t="n">
        <v>300</v>
      </c>
      <c r="C17" s="12" t="n">
        <v>300</v>
      </c>
      <c r="D17" s="12" t="n">
        <v>300</v>
      </c>
      <c r="E17" s="12" t="n">
        <v>300</v>
      </c>
      <c r="F17" s="12" t="n">
        <v>300</v>
      </c>
      <c r="G17" s="12" t="n">
        <v>300</v>
      </c>
      <c r="H17" s="12" t="n">
        <v>300</v>
      </c>
      <c r="I17" s="12" t="n">
        <v>300</v>
      </c>
      <c r="J17" s="12" t="n">
        <v>300</v>
      </c>
      <c r="K17" s="12" t="n">
        <v>300</v>
      </c>
      <c r="L17" s="12" t="n">
        <v>300</v>
      </c>
      <c r="M17" s="12" t="n">
        <v>300</v>
      </c>
      <c r="N17" s="12">
        <f>SUM(B17:M17)</f>
        <v/>
      </c>
    </row>
    <row r="18">
      <c r="A18" s="5" t="inlineStr">
        <is>
          <t>Assurances (RC Pro)</t>
        </is>
      </c>
      <c r="B18" s="12" t="n">
        <v>83</v>
      </c>
      <c r="C18" s="12" t="n">
        <v>83</v>
      </c>
      <c r="D18" s="12" t="n">
        <v>83</v>
      </c>
      <c r="E18" s="12" t="n">
        <v>83</v>
      </c>
      <c r="F18" s="12" t="n">
        <v>83</v>
      </c>
      <c r="G18" s="12" t="n">
        <v>83</v>
      </c>
      <c r="H18" s="12" t="n">
        <v>83</v>
      </c>
      <c r="I18" s="12" t="n">
        <v>83</v>
      </c>
      <c r="J18" s="12" t="n">
        <v>83</v>
      </c>
      <c r="K18" s="12" t="n">
        <v>83</v>
      </c>
      <c r="L18" s="12" t="n">
        <v>83</v>
      </c>
      <c r="M18" s="12" t="n">
        <v>83</v>
      </c>
      <c r="N18" s="12">
        <f>SUM(B18:M18)</f>
        <v/>
      </c>
    </row>
    <row r="19">
      <c r="A19" s="5" t="inlineStr">
        <is>
          <t>Materiel</t>
        </is>
      </c>
      <c r="B19" s="12" t="n">
        <v>500</v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>
        <f>SUM(B19:M19)</f>
        <v/>
      </c>
    </row>
    <row r="20">
      <c r="A20" s="5" t="inlineStr">
        <is>
          <t>Remboursement emprunts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728</v>
      </c>
      <c r="I20" s="12" t="n">
        <v>728</v>
      </c>
      <c r="J20" s="12" t="n">
        <v>728</v>
      </c>
      <c r="K20" s="12" t="n">
        <v>728</v>
      </c>
      <c r="L20" s="12" t="n">
        <v>728</v>
      </c>
      <c r="M20" s="12" t="n">
        <v>728</v>
      </c>
      <c r="N20" s="12">
        <f>SUM(B20:M20)</f>
        <v/>
      </c>
    </row>
    <row r="21">
      <c r="A21" s="5" t="inlineStr">
        <is>
          <t>TVA a reverser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800</v>
      </c>
      <c r="K21" s="12" t="n">
        <v>0</v>
      </c>
      <c r="L21" s="12" t="n">
        <v>0</v>
      </c>
      <c r="M21" s="12" t="n">
        <v>1600</v>
      </c>
      <c r="N21" s="12">
        <f>SUM(B21:M21)</f>
        <v/>
      </c>
    </row>
    <row r="22">
      <c r="A22" s="5" t="inlineStr">
        <is>
          <t>Divers / imprevus</t>
        </is>
      </c>
      <c r="B22" s="12" t="n">
        <v>100</v>
      </c>
      <c r="C22" s="12" t="n">
        <v>100</v>
      </c>
      <c r="D22" s="12" t="n">
        <v>100</v>
      </c>
      <c r="E22" s="12" t="n">
        <v>100</v>
      </c>
      <c r="F22" s="12" t="n">
        <v>100</v>
      </c>
      <c r="G22" s="12" t="n">
        <v>100</v>
      </c>
      <c r="H22" s="12" t="n">
        <v>100</v>
      </c>
      <c r="I22" s="12" t="n">
        <v>100</v>
      </c>
      <c r="J22" s="12" t="n">
        <v>100</v>
      </c>
      <c r="K22" s="12" t="n">
        <v>100</v>
      </c>
      <c r="L22" s="12" t="n">
        <v>100</v>
      </c>
      <c r="M22" s="12" t="n">
        <v>100</v>
      </c>
      <c r="N22" s="12">
        <f>SUM(B22:M22)</f>
        <v/>
      </c>
    </row>
    <row r="23">
      <c r="A23" s="13" t="inlineStr">
        <is>
          <t>TOTAL DECAISSEMENTS</t>
        </is>
      </c>
      <c r="B23" s="14">
        <f>SUM(B12:B22)</f>
        <v/>
      </c>
      <c r="C23" s="14">
        <f>SUM(C12:C22)</f>
        <v/>
      </c>
      <c r="D23" s="14">
        <f>SUM(D12:D22)</f>
        <v/>
      </c>
      <c r="E23" s="14">
        <f>SUM(E12:E22)</f>
        <v/>
      </c>
      <c r="F23" s="14">
        <f>SUM(F12:F22)</f>
        <v/>
      </c>
      <c r="G23" s="14">
        <f>SUM(G12:G22)</f>
        <v/>
      </c>
      <c r="H23" s="14">
        <f>SUM(H12:H22)</f>
        <v/>
      </c>
      <c r="I23" s="14">
        <f>SUM(I12:I22)</f>
        <v/>
      </c>
      <c r="J23" s="14">
        <f>SUM(J12:J22)</f>
        <v/>
      </c>
      <c r="K23" s="14">
        <f>SUM(K12:K22)</f>
        <v/>
      </c>
      <c r="L23" s="14">
        <f>SUM(L12:L22)</f>
        <v/>
      </c>
      <c r="M23" s="14">
        <f>SUM(M12:M22)</f>
        <v/>
      </c>
      <c r="N23" s="14">
        <f>SUM(N12:N22)</f>
        <v/>
      </c>
    </row>
    <row r="25">
      <c r="A25" s="4" t="inlineStr">
        <is>
          <t>SOLDE DU MOIS</t>
        </is>
      </c>
      <c r="B25" s="24">
        <f>B9-B23</f>
        <v/>
      </c>
      <c r="C25" s="24">
        <f>C9-C23</f>
        <v/>
      </c>
      <c r="D25" s="24">
        <f>D9-D23</f>
        <v/>
      </c>
      <c r="E25" s="24">
        <f>E9-E23</f>
        <v/>
      </c>
      <c r="F25" s="24">
        <f>F9-F23</f>
        <v/>
      </c>
      <c r="G25" s="24">
        <f>G9-G23</f>
        <v/>
      </c>
      <c r="H25" s="24">
        <f>H9-H23</f>
        <v/>
      </c>
      <c r="I25" s="24">
        <f>I9-I23</f>
        <v/>
      </c>
      <c r="J25" s="24">
        <f>J9-J23</f>
        <v/>
      </c>
      <c r="K25" s="24">
        <f>K9-K23</f>
        <v/>
      </c>
      <c r="L25" s="24">
        <f>L9-L23</f>
        <v/>
      </c>
      <c r="M25" s="24">
        <f>M9-M23</f>
        <v/>
      </c>
      <c r="N25" s="24">
        <f>N9-N23</f>
        <v/>
      </c>
    </row>
    <row r="26">
      <c r="A26" s="27" t="inlineStr">
        <is>
          <t>TRESORERIE CUMULEE</t>
        </is>
      </c>
      <c r="B26" s="28">
        <f>B25</f>
        <v/>
      </c>
      <c r="C26" s="28">
        <f>B26+C25</f>
        <v/>
      </c>
      <c r="D26" s="28">
        <f>C26+D25</f>
        <v/>
      </c>
      <c r="E26" s="28">
        <f>D26+E25</f>
        <v/>
      </c>
      <c r="F26" s="28">
        <f>E26+F25</f>
        <v/>
      </c>
      <c r="G26" s="28">
        <f>F26+G25</f>
        <v/>
      </c>
      <c r="H26" s="28">
        <f>G26+H25</f>
        <v/>
      </c>
      <c r="I26" s="28">
        <f>H26+I25</f>
        <v/>
      </c>
      <c r="J26" s="28">
        <f>I26+J25</f>
        <v/>
      </c>
      <c r="K26" s="28">
        <f>J26+K25</f>
        <v/>
      </c>
      <c r="L26" s="28">
        <f>K26+L25</f>
        <v/>
      </c>
      <c r="M26" s="28">
        <f>L26+M25</f>
        <v/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69E2E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SEUIL DE RENTABILITE</t>
        </is>
      </c>
    </row>
    <row r="2">
      <c r="A2" s="2" t="inlineStr">
        <is>
          <t>Seuil atteint a ~50 clients (M6-M7, fin S1)</t>
        </is>
      </c>
    </row>
    <row r="3">
      <c r="A3" s="3" t="inlineStr"/>
      <c r="B3" s="3" t="inlineStr">
        <is>
          <t>An 1</t>
        </is>
      </c>
      <c r="C3" s="3" t="inlineStr">
        <is>
          <t>An 2</t>
        </is>
      </c>
      <c r="D3" s="3" t="inlineStr">
        <is>
          <t>An 3</t>
        </is>
      </c>
    </row>
    <row r="4">
      <c r="A4" s="5" t="inlineStr">
        <is>
          <t>Charges fixes totales</t>
        </is>
      </c>
      <c r="B4" s="23">
        <f>'Compte Resultat'!B32</f>
        <v/>
      </c>
      <c r="C4" s="23">
        <f>'Compte Resultat'!C32</f>
        <v/>
      </c>
      <c r="D4" s="23">
        <f>'Compte Resultat'!D32</f>
        <v/>
      </c>
    </row>
    <row r="5">
      <c r="A5" s="5" t="inlineStr">
        <is>
          <t>Taux de marge sur couts variables</t>
        </is>
      </c>
      <c r="B5" s="29">
        <f>'Compte Resultat'!B18</f>
        <v/>
      </c>
      <c r="C5" s="29">
        <f>'Compte Resultat'!C18</f>
        <v/>
      </c>
      <c r="D5" s="29">
        <f>'Compte Resultat'!D18</f>
        <v/>
      </c>
    </row>
    <row r="6">
      <c r="A6" s="4" t="inlineStr">
        <is>
          <t>SEUIL DE RENTABILITE (CA HT)</t>
        </is>
      </c>
      <c r="B6" s="23">
        <f>B4/B5</f>
        <v/>
      </c>
      <c r="C6" s="23">
        <f>C4/C5</f>
        <v/>
      </c>
      <c r="D6" s="23">
        <f>D4/D5</f>
        <v/>
      </c>
    </row>
    <row r="7">
      <c r="A7" s="5" t="inlineStr">
        <is>
          <t>Seuil mensuel</t>
        </is>
      </c>
      <c r="B7" s="23">
        <f>B6/12</f>
        <v/>
      </c>
      <c r="C7" s="23">
        <f>C6/12</f>
        <v/>
      </c>
      <c r="D7" s="23">
        <f>D6/12</f>
        <v/>
      </c>
    </row>
    <row r="8">
      <c r="A8" s="5" t="inlineStr">
        <is>
          <t>Nb clients equivalent (ARPA)</t>
        </is>
      </c>
      <c r="B8" s="30">
        <f>B7/Hypotheses!B11</f>
        <v/>
      </c>
      <c r="C8" s="30">
        <f>C7/Hypotheses!B11</f>
        <v/>
      </c>
      <c r="D8" s="30">
        <f>D7/Hypotheses!B11</f>
        <v/>
      </c>
    </row>
    <row r="9">
      <c r="A9" s="5" t="inlineStr"/>
      <c r="B9" s="23" t="inlineStr"/>
      <c r="C9" s="23" t="inlineStr"/>
      <c r="D9" s="23" t="inlineStr"/>
    </row>
    <row r="10">
      <c r="A10" s="5" t="inlineStr">
        <is>
          <t>CA previsionnel</t>
        </is>
      </c>
      <c r="B10" s="23">
        <f>'Compte Resultat'!B9</f>
        <v/>
      </c>
      <c r="C10" s="23">
        <f>'Compte Resultat'!C9</f>
        <v/>
      </c>
      <c r="D10" s="23">
        <f>'Compte Resultat'!D9</f>
        <v/>
      </c>
    </row>
    <row r="11">
      <c r="A11" s="5" t="inlineStr">
        <is>
          <t>Marge de securite (CA - Seuil)</t>
        </is>
      </c>
      <c r="B11" s="23">
        <f>B10-B6</f>
        <v/>
      </c>
      <c r="C11" s="23">
        <f>C10-C6</f>
        <v/>
      </c>
      <c r="D11" s="23">
        <f>D10-D6</f>
        <v/>
      </c>
    </row>
    <row r="12">
      <c r="A12" s="5" t="inlineStr">
        <is>
          <t>Taux de marge de securite</t>
        </is>
      </c>
      <c r="B12" s="29">
        <f>B11/B10</f>
        <v/>
      </c>
      <c r="C12" s="29">
        <f>C11/C10</f>
        <v/>
      </c>
      <c r="D12" s="29">
        <f>D11/D10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19795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3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BILAN PREVISIONNEL</t>
        </is>
      </c>
    </row>
    <row r="3">
      <c r="A3" s="3" t="inlineStr">
        <is>
          <t>ACTIF</t>
        </is>
      </c>
      <c r="B3" s="3" t="inlineStr">
        <is>
          <t>An 1</t>
        </is>
      </c>
      <c r="C3" s="3" t="inlineStr">
        <is>
          <t>An 2</t>
        </is>
      </c>
      <c r="D3" s="3" t="inlineStr">
        <is>
          <t>An 3</t>
        </is>
      </c>
      <c r="E3" s="3" t="inlineStr">
        <is>
          <t>PASSIF</t>
        </is>
      </c>
      <c r="F3" s="3" t="inlineStr">
        <is>
          <t>An 1</t>
        </is>
      </c>
      <c r="G3" s="3" t="inlineStr">
        <is>
          <t>An 2</t>
        </is>
      </c>
      <c r="H3" s="3" t="inlineStr">
        <is>
          <t>An 3</t>
        </is>
      </c>
    </row>
    <row r="4">
      <c r="A4" s="5" t="inlineStr">
        <is>
          <t>Immobilisations incorporelles (net)</t>
        </is>
      </c>
      <c r="B4" s="12" t="n">
        <v>13500</v>
      </c>
      <c r="C4" s="12" t="n">
        <v>12000</v>
      </c>
      <c r="D4" s="12" t="n">
        <v>10500</v>
      </c>
      <c r="E4" s="5" t="inlineStr">
        <is>
          <t>Capital social (SASU)</t>
        </is>
      </c>
      <c r="F4" s="23" t="n">
        <v>1</v>
      </c>
      <c r="G4" s="23" t="n">
        <v>1</v>
      </c>
      <c r="H4" s="23" t="n">
        <v>1</v>
      </c>
    </row>
    <row r="5">
      <c r="A5" s="5" t="inlineStr">
        <is>
          <t>Immobilisations corporelles (net)</t>
        </is>
      </c>
      <c r="B5" s="12" t="n">
        <v>1000</v>
      </c>
      <c r="C5" s="12" t="n">
        <v>500</v>
      </c>
      <c r="D5" s="12" t="n">
        <v>0</v>
      </c>
      <c r="E5" s="5" t="inlineStr">
        <is>
          <t>Reserves</t>
        </is>
      </c>
      <c r="F5" s="23" t="n">
        <v>0</v>
      </c>
      <c r="G5" s="23">
        <f>'Compte Resultat'!B38</f>
        <v/>
      </c>
      <c r="H5" s="23">
        <f>F5+'Compte Resultat'!C38</f>
        <v/>
      </c>
    </row>
    <row r="6">
      <c r="A6" s="5" t="inlineStr">
        <is>
          <t>Creances clients</t>
        </is>
      </c>
      <c r="B6" s="12" t="n">
        <v>0</v>
      </c>
      <c r="C6" s="12" t="n">
        <v>0</v>
      </c>
      <c r="D6" s="12" t="n">
        <v>0</v>
      </c>
      <c r="E6" s="5" t="inlineStr">
        <is>
          <t>Resultat de l'exercice</t>
        </is>
      </c>
      <c r="F6" s="23">
        <f>'Compte Resultat'!B38</f>
        <v/>
      </c>
      <c r="G6" s="23">
        <f>'Compte Resultat'!C38</f>
        <v/>
      </c>
      <c r="H6" s="23">
        <f>'Compte Resultat'!D38</f>
        <v/>
      </c>
    </row>
    <row r="7">
      <c r="A7" s="5" t="inlineStr">
        <is>
          <t>Tresorerie</t>
        </is>
      </c>
      <c r="B7" s="12">
        <f>'Tresorerie M1-M12'!M26</f>
        <v/>
      </c>
      <c r="C7" s="12" t="n">
        <v>120000</v>
      </c>
      <c r="D7" s="12" t="n">
        <v>240000</v>
      </c>
      <c r="E7" s="5" t="inlineStr">
        <is>
          <t>Emprunts LT</t>
        </is>
      </c>
      <c r="F7" s="23" t="n">
        <v>35632</v>
      </c>
      <c r="G7" s="23" t="n">
        <v>25780</v>
      </c>
      <c r="H7" s="23" t="n">
        <v>15928</v>
      </c>
    </row>
    <row r="8">
      <c r="A8" s="13" t="inlineStr">
        <is>
          <t>TOTAL ACTIF</t>
        </is>
      </c>
      <c r="B8" s="14">
        <f>SUM(B4:B7)</f>
        <v/>
      </c>
      <c r="C8" s="14">
        <f>SUM(C4:C7)</f>
        <v/>
      </c>
      <c r="D8" s="14">
        <f>SUM(D4:D7)</f>
        <v/>
      </c>
      <c r="E8" s="5" t="inlineStr">
        <is>
          <t>Dettes courantes</t>
        </is>
      </c>
      <c r="F8" s="23" t="n">
        <v>9651</v>
      </c>
      <c r="G8" s="23" t="n">
        <v>13727</v>
      </c>
      <c r="H8" s="23" t="n">
        <v>14396</v>
      </c>
    </row>
    <row r="11">
      <c r="E11" s="13" t="inlineStr">
        <is>
          <t>TOTAL PASSIF</t>
        </is>
      </c>
      <c r="F11" s="14">
        <f>SUM(F4:F10)</f>
        <v/>
      </c>
      <c r="G11" s="14">
        <f>SUM(G4:G10)</f>
        <v/>
      </c>
      <c r="H11" s="14">
        <f>SUM(H4:H10)</f>
        <v/>
      </c>
    </row>
    <row r="13">
      <c r="A13" s="15" t="inlineStr">
        <is>
          <t>Verification Actif = Passif</t>
        </is>
      </c>
      <c r="E13" s="15" t="inlineStr">
        <is>
          <t>Ecart</t>
        </is>
      </c>
      <c r="F13" s="31">
        <f>B8-F11</f>
        <v/>
      </c>
      <c r="G13" s="31">
        <f>C8-G11</f>
        <v/>
      </c>
      <c r="H13" s="31">
        <f>D8-H11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53030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SCENARIO PESSIMISTE (-30% acquisition)</t>
        </is>
      </c>
    </row>
    <row r="2">
      <c r="A2" s="2" t="inlineStr">
        <is>
          <t>Hypothese : 30% de clients en moins, charges ajustees a la baisse</t>
        </is>
      </c>
    </row>
    <row r="4">
      <c r="A4" s="3" t="inlineStr"/>
      <c r="B4" s="3" t="inlineStr">
        <is>
          <t>An 1</t>
        </is>
      </c>
      <c r="C4" s="3" t="inlineStr">
        <is>
          <t>An 2</t>
        </is>
      </c>
      <c r="D4" s="3" t="inlineStr">
        <is>
          <t>An 3</t>
        </is>
      </c>
    </row>
    <row r="5">
      <c r="A5" s="15" t="inlineStr">
        <is>
          <t>Facteur reduction acquisition</t>
        </is>
      </c>
      <c r="B5" s="32" t="n">
        <v>0.7</v>
      </c>
      <c r="C5" s="2" t="inlineStr">
        <is>
          <t>Modifiez cette cellule pour ajuster le scenario</t>
        </is>
      </c>
    </row>
    <row r="7">
      <c r="A7" s="4" t="inlineStr">
        <is>
          <t>Clients fin annee</t>
        </is>
      </c>
      <c r="B7" s="19">
        <f>ROUND('Clients &amp; MRR'!D17*$B$5,0)</f>
        <v/>
      </c>
      <c r="C7" s="19">
        <f>ROUND('Clients &amp; MRR'!B22*$B$5,0)</f>
        <v/>
      </c>
      <c r="D7" s="19">
        <f>ROUND('Clients &amp; MRR'!B28*$B$5,0)</f>
        <v/>
      </c>
    </row>
    <row r="8">
      <c r="A8" s="4" t="inlineStr">
        <is>
          <t>MRR fin annee</t>
        </is>
      </c>
      <c r="B8" s="12">
        <f>B7*Hypotheses!B11</f>
        <v/>
      </c>
      <c r="C8" s="12">
        <f>C7*Hypotheses!B11</f>
        <v/>
      </c>
      <c r="D8" s="12">
        <f>D7*Hypotheses!B11</f>
        <v/>
      </c>
    </row>
    <row r="9">
      <c r="A9" s="4" t="inlineStr">
        <is>
          <t>CA HT (pessimiste)</t>
        </is>
      </c>
      <c r="B9" s="12">
        <f>'Compte Resultat'!B9*$B$5</f>
        <v/>
      </c>
      <c r="C9" s="12">
        <f>'Compte Resultat'!C9*$B$5</f>
        <v/>
      </c>
      <c r="D9" s="12">
        <f>'Compte Resultat'!D9*$B$5</f>
        <v/>
      </c>
    </row>
    <row r="10">
      <c r="A10" s="5" t="inlineStr">
        <is>
          <t>Charges totales (ajustees)</t>
        </is>
      </c>
      <c r="B10" s="12" t="n">
        <v>20100</v>
      </c>
      <c r="C10" s="12" t="n">
        <v>62600</v>
      </c>
      <c r="D10" s="12" t="n">
        <v>120800</v>
      </c>
    </row>
    <row r="11">
      <c r="A11" s="4" t="inlineStr">
        <is>
          <t>Resultat net (pessimiste)</t>
        </is>
      </c>
      <c r="B11" s="23">
        <f>B9-B10</f>
        <v/>
      </c>
      <c r="C11" s="23">
        <f>C9-C10</f>
        <v/>
      </c>
      <c r="D11" s="23">
        <f>D9-D10</f>
        <v/>
      </c>
    </row>
    <row r="12">
      <c r="A12" s="19" t="n"/>
      <c r="B12" s="19" t="n"/>
      <c r="C12" s="19" t="n"/>
      <c r="D12" s="19" t="n"/>
    </row>
    <row r="13">
      <c r="A13" s="27" t="inlineStr">
        <is>
          <t>Tresorerie fin annee</t>
        </is>
      </c>
      <c r="B13" s="33" t="n">
        <v>47200</v>
      </c>
      <c r="C13" s="33">
        <f>B13+C11</f>
        <v/>
      </c>
      <c r="D13" s="33">
        <f>C13+D11</f>
        <v/>
      </c>
    </row>
    <row r="15">
      <c r="A15" s="15" t="inlineStr">
        <is>
          <t>Actions correctives si scenario pessimiste :</t>
        </is>
      </c>
    </row>
    <row r="16">
      <c r="A16" s="2" t="inlineStr">
        <is>
          <t>→ Reduction marketing de 50%</t>
        </is>
      </c>
    </row>
    <row r="17">
      <c r="A17" s="2" t="inlineStr">
        <is>
          <t>→ Reduction salaire fondateur temporairement</t>
        </is>
      </c>
    </row>
    <row r="18">
      <c r="A18" s="2" t="inlineStr">
        <is>
          <t>→ Negociation report echeance prets d'honneur</t>
        </is>
      </c>
    </row>
    <row r="19">
      <c r="A19" s="2" t="inlineStr">
        <is>
          <t>→ Missions freelance en parallele pour le fondateur</t>
        </is>
      </c>
    </row>
    <row r="20">
      <c r="A20" s="15" t="inlineStr">
        <is>
          <t>→ Tresorerie reste POSITIVE meme a -30% (modele frugal)</t>
        </is>
      </c>
    </row>
  </sheetData>
  <mergeCells count="3">
    <mergeCell ref="A1:D1"/>
    <mergeCell ref="C5:D5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A5568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ECHEANCIER DES REMBOURSEMENTS</t>
        </is>
      </c>
    </row>
    <row r="3">
      <c r="A3" s="3" t="inlineStr">
        <is>
          <t>Type</t>
        </is>
      </c>
      <c r="B3" s="3" t="inlineStr">
        <is>
          <t>Capital</t>
        </is>
      </c>
      <c r="C3" s="3" t="inlineStr">
        <is>
          <t>Taux</t>
        </is>
      </c>
      <c r="D3" s="3" t="inlineStr">
        <is>
          <t>Duree</t>
        </is>
      </c>
      <c r="E3" s="3" t="inlineStr">
        <is>
          <t>Differe</t>
        </is>
      </c>
      <c r="F3" s="3" t="inlineStr">
        <is>
          <t>Mensualite</t>
        </is>
      </c>
      <c r="G3" s="3" t="inlineStr">
        <is>
          <t>Debut remb.</t>
        </is>
      </c>
    </row>
    <row r="4">
      <c r="A4" s="5" t="inlineStr">
        <is>
          <t>Pret honneur Initiative 95</t>
        </is>
      </c>
      <c r="B4" s="12" t="n">
        <v>15000</v>
      </c>
      <c r="C4" s="19" t="inlineStr">
        <is>
          <t>0%</t>
        </is>
      </c>
      <c r="D4" s="19" t="inlineStr">
        <is>
          <t>5 ans</t>
        </is>
      </c>
      <c r="E4" s="19" t="inlineStr">
        <is>
          <t>6 mois</t>
        </is>
      </c>
      <c r="F4" s="12">
        <f>B4/54</f>
        <v/>
      </c>
      <c r="G4" s="19" t="inlineStr">
        <is>
          <t>M7</t>
        </is>
      </c>
    </row>
    <row r="5">
      <c r="A5" s="5" t="inlineStr">
        <is>
          <t>Pret bancaire (garanti BPI 60%)</t>
        </is>
      </c>
      <c r="B5" s="12" t="n">
        <v>25000</v>
      </c>
      <c r="C5" s="19" t="inlineStr">
        <is>
          <t>3%</t>
        </is>
      </c>
      <c r="D5" s="19" t="inlineStr">
        <is>
          <t>5 ans</t>
        </is>
      </c>
      <c r="E5" s="19" t="inlineStr">
        <is>
          <t>6 mois</t>
        </is>
      </c>
      <c r="F5" s="12" t="n">
        <v>450</v>
      </c>
      <c r="G5" s="19" t="inlineStr">
        <is>
          <t>M7</t>
        </is>
      </c>
    </row>
    <row r="6">
      <c r="A6" s="5" t="inlineStr">
        <is>
          <t>NACRE phase 2 (beneficiaire ASS)</t>
        </is>
      </c>
      <c r="B6" s="12" t="n">
        <v>5000</v>
      </c>
      <c r="C6" s="19" t="inlineStr">
        <is>
          <t>0%</t>
        </is>
      </c>
      <c r="D6" s="19" t="inlineStr">
        <is>
          <t>5 ans</t>
        </is>
      </c>
      <c r="E6" s="19" t="inlineStr">
        <is>
          <t>12 mois</t>
        </is>
      </c>
      <c r="F6" s="12">
        <f>B6/48</f>
        <v/>
      </c>
      <c r="G6" s="19" t="inlineStr">
        <is>
          <t>M13</t>
        </is>
      </c>
    </row>
    <row r="7">
      <c r="A7" s="13" t="inlineStr">
        <is>
          <t>TOTAL</t>
        </is>
      </c>
      <c r="B7" s="14">
        <f>SUM(B4:B6)</f>
        <v/>
      </c>
      <c r="C7" s="14" t="n"/>
      <c r="D7" s="14" t="n"/>
      <c r="E7" s="14" t="n"/>
      <c r="F7" s="14" t="n"/>
      <c r="G7" s="14" t="n"/>
    </row>
    <row r="9">
      <c r="A9" s="11" t="inlineStr">
        <is>
          <t>ECHEANCIER ANNUEL</t>
        </is>
      </c>
    </row>
    <row r="10">
      <c r="A10" s="3" t="inlineStr"/>
      <c r="B10" s="3" t="inlineStr">
        <is>
          <t>An 1</t>
        </is>
      </c>
      <c r="C10" s="3" t="inlineStr">
        <is>
          <t>An 2</t>
        </is>
      </c>
      <c r="D10" s="3" t="inlineStr">
        <is>
          <t>An 3</t>
        </is>
      </c>
      <c r="E10" s="3" t="inlineStr">
        <is>
          <t>Total</t>
        </is>
      </c>
    </row>
    <row r="11">
      <c r="A11" s="5" t="inlineStr">
        <is>
          <t>Remb. pret I95</t>
        </is>
      </c>
      <c r="B11" s="12">
        <f>F4*6</f>
        <v/>
      </c>
      <c r="C11" s="12">
        <f>F4*12</f>
        <v/>
      </c>
      <c r="D11" s="12">
        <f>F4*12</f>
        <v/>
      </c>
      <c r="E11" s="12">
        <f>SUM(B11:D11)</f>
        <v/>
      </c>
    </row>
    <row r="12">
      <c r="A12" s="5" t="inlineStr">
        <is>
          <t>Remb. pret bancaire</t>
        </is>
      </c>
      <c r="B12" s="12">
        <f>6*450</f>
        <v/>
      </c>
      <c r="C12" s="12">
        <f>12*450</f>
        <v/>
      </c>
      <c r="D12" s="12">
        <f>12*450</f>
        <v/>
      </c>
      <c r="E12" s="12">
        <f>SUM(B12:D12)</f>
        <v/>
      </c>
    </row>
    <row r="13">
      <c r="A13" s="5" t="inlineStr">
        <is>
          <t>Remb. NACRE</t>
        </is>
      </c>
      <c r="B13" s="12" t="n">
        <v>0</v>
      </c>
      <c r="C13" s="12">
        <f>F6*12</f>
        <v/>
      </c>
      <c r="D13" s="12">
        <f>F6*12</f>
        <v/>
      </c>
      <c r="E13" s="12">
        <f>SUM(B13:D13)</f>
        <v/>
      </c>
    </row>
    <row r="14">
      <c r="A14" s="13" t="inlineStr">
        <is>
          <t>TOTAL REMBOURSEMENTS</t>
        </is>
      </c>
      <c r="B14" s="14">
        <f>SUM(B11:B13)</f>
        <v/>
      </c>
      <c r="C14" s="14">
        <f>SUM(C11:C13)</f>
        <v/>
      </c>
      <c r="D14" s="14">
        <f>SUM(D11:D13)</f>
        <v/>
      </c>
      <c r="E14" s="14">
        <f>SUM(E11:E13)</f>
        <v/>
      </c>
    </row>
    <row r="15">
      <c r="A15" s="2" t="inlineStr">
        <is>
          <t>Dont interets (pret bancaire)</t>
        </is>
      </c>
      <c r="B15" s="22" t="n">
        <v>375</v>
      </c>
      <c r="C15" s="22" t="n">
        <v>625</v>
      </c>
      <c r="D15" s="22" t="n">
        <v>500</v>
      </c>
      <c r="E15" s="22">
        <f>SUM(B15:D15)</f>
        <v/>
      </c>
    </row>
    <row r="17">
      <c r="A17" s="11" t="inlineStr">
        <is>
          <t>RESUME REMBOURSEMENTS MENSUELS</t>
        </is>
      </c>
    </row>
    <row r="18">
      <c r="A18" s="2" t="inlineStr">
        <is>
          <t>M1-M6 : aucun remboursement (differe)</t>
        </is>
      </c>
    </row>
    <row r="19">
      <c r="A19" s="2" t="inlineStr">
        <is>
          <t>M7-M12 : 728 EUR/mois (I95 278 + bancaire 450)</t>
        </is>
      </c>
    </row>
    <row r="20">
      <c r="A20" s="2" t="inlineStr">
        <is>
          <t>M13+ : 821 EUR/mois (+ NACRE 93)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2026-04-11T01:28:17Z</dcterms:created>
  <dcterms:modified xsi:type="dcterms:W3CDTF">2026-04-11T01:28:17Z</dcterms:modified>
</cp:coreProperties>
</file>